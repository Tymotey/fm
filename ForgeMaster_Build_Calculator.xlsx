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s\fm\"/>
    </mc:Choice>
  </mc:AlternateContent>
  <xr:revisionPtr revIDLastSave="0" documentId="11_6A5D2F57231FCE7D950EEEC1194B18D2423BF5DA" xr6:coauthVersionLast="47" xr6:coauthVersionMax="47" xr10:uidLastSave="{00000000-0000-0000-0000-000000000000}"/>
  <bookViews>
    <workbookView xWindow="40155" yWindow="-21945" windowWidth="38640" windowHeight="21120" xr2:uid="{00000000-000D-0000-FFFF-FFFF00000000}"/>
  </bookViews>
  <sheets>
    <sheet name="Calculator" sheetId="1" r:id="rId1"/>
    <sheet name="Documentation" sheetId="2" r:id="rId2"/>
    <sheet name="Stat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D63" i="1"/>
  <c r="G62" i="1"/>
  <c r="G63" i="1" s="1"/>
  <c r="F62" i="1"/>
  <c r="F63" i="1" s="1"/>
  <c r="E62" i="1"/>
  <c r="D62" i="1"/>
  <c r="C62" i="1"/>
  <c r="C63" i="1" s="1"/>
  <c r="B62" i="1"/>
  <c r="B63" i="1" s="1"/>
  <c r="G56" i="1"/>
  <c r="C56" i="1"/>
  <c r="B56" i="1"/>
  <c r="G55" i="1"/>
  <c r="F55" i="1"/>
  <c r="F56" i="1" s="1"/>
  <c r="E55" i="1"/>
  <c r="E56" i="1" s="1"/>
  <c r="D55" i="1"/>
  <c r="D56" i="1" s="1"/>
  <c r="C55" i="1"/>
  <c r="B55" i="1"/>
  <c r="F46" i="1"/>
  <c r="G43" i="1"/>
  <c r="G46" i="1" s="1"/>
  <c r="G48" i="1" s="1"/>
  <c r="F43" i="1"/>
  <c r="E43" i="1"/>
  <c r="E46" i="1" s="1"/>
  <c r="D43" i="1"/>
  <c r="D46" i="1" s="1"/>
  <c r="D48" i="1" s="1"/>
  <c r="C43" i="1"/>
  <c r="C46" i="1" s="1"/>
  <c r="B43" i="1"/>
  <c r="B46" i="1" s="1"/>
  <c r="B48" i="1" s="1"/>
  <c r="G42" i="1"/>
  <c r="G45" i="1" s="1"/>
  <c r="G47" i="1" s="1"/>
  <c r="F42" i="1"/>
  <c r="F44" i="1" s="1"/>
  <c r="E42" i="1"/>
  <c r="D42" i="1"/>
  <c r="D45" i="1" s="1"/>
  <c r="D47" i="1" s="1"/>
  <c r="C42" i="1"/>
  <c r="C44" i="1" s="1"/>
  <c r="B42" i="1"/>
  <c r="B45" i="1" s="1"/>
  <c r="B47" i="1" s="1"/>
  <c r="G41" i="1"/>
  <c r="G49" i="1" s="1"/>
  <c r="F41" i="1"/>
  <c r="F49" i="1" s="1"/>
  <c r="E41" i="1"/>
  <c r="E44" i="1" s="1"/>
  <c r="D41" i="1"/>
  <c r="D44" i="1" s="1"/>
  <c r="C41" i="1"/>
  <c r="C49" i="1" s="1"/>
  <c r="B41" i="1"/>
  <c r="B44" i="1" s="1"/>
  <c r="F38" i="1"/>
  <c r="D38" i="1"/>
  <c r="C38" i="1"/>
  <c r="B38" i="1"/>
  <c r="G37" i="1"/>
  <c r="F37" i="1"/>
  <c r="E37" i="1"/>
  <c r="D37" i="1"/>
  <c r="C37" i="1"/>
  <c r="B37" i="1"/>
  <c r="F36" i="1"/>
  <c r="D36" i="1"/>
  <c r="C36" i="1"/>
  <c r="B36" i="1"/>
  <c r="G35" i="1"/>
  <c r="G36" i="1" s="1"/>
  <c r="F35" i="1"/>
  <c r="E35" i="1"/>
  <c r="E36" i="1" s="1"/>
  <c r="D35" i="1"/>
  <c r="C35" i="1"/>
  <c r="B35" i="1"/>
  <c r="G33" i="1"/>
  <c r="F33" i="1"/>
  <c r="E33" i="1"/>
  <c r="D33" i="1"/>
  <c r="C33" i="1"/>
  <c r="B33" i="1"/>
  <c r="G27" i="1"/>
  <c r="G61" i="1" s="1"/>
  <c r="F27" i="1"/>
  <c r="F61" i="1" s="1"/>
  <c r="E27" i="1"/>
  <c r="E61" i="1" s="1"/>
  <c r="D27" i="1"/>
  <c r="D61" i="1" s="1"/>
  <c r="C27" i="1"/>
  <c r="C61" i="1" s="1"/>
  <c r="B27" i="1"/>
  <c r="B61" i="1" s="1"/>
  <c r="G26" i="1"/>
  <c r="F26" i="1"/>
  <c r="E26" i="1"/>
  <c r="D26" i="1"/>
  <c r="D30" i="1" s="1"/>
  <c r="C26" i="1"/>
  <c r="B26" i="1"/>
  <c r="E48" i="1" l="1"/>
  <c r="G50" i="1"/>
  <c r="G51" i="1" s="1"/>
  <c r="G52" i="1" s="1"/>
  <c r="G60" i="1" s="1"/>
  <c r="C48" i="1"/>
  <c r="C50" i="1" s="1"/>
  <c r="D50" i="1"/>
  <c r="D51" i="1" s="1"/>
  <c r="D52" i="1" s="1"/>
  <c r="D60" i="1" s="1"/>
  <c r="B49" i="1"/>
  <c r="B50" i="1" s="1"/>
  <c r="B51" i="1" s="1"/>
  <c r="B52" i="1" s="1"/>
  <c r="B60" i="1" s="1"/>
  <c r="B59" i="1"/>
  <c r="C45" i="1"/>
  <c r="C47" i="1" s="1"/>
  <c r="C59" i="1"/>
  <c r="B30" i="1"/>
  <c r="C34" i="1"/>
  <c r="D49" i="1"/>
  <c r="D59" i="1"/>
  <c r="B34" i="1"/>
  <c r="G44" i="1"/>
  <c r="G59" i="1" s="1"/>
  <c r="E45" i="1"/>
  <c r="E47" i="1" s="1"/>
  <c r="E49" i="1"/>
  <c r="C30" i="1"/>
  <c r="G30" i="1"/>
  <c r="G34" i="1"/>
  <c r="G38" i="1"/>
  <c r="F45" i="1"/>
  <c r="F47" i="1" s="1"/>
  <c r="F48" i="1" s="1"/>
  <c r="F59" i="1"/>
  <c r="D34" i="1"/>
  <c r="E30" i="1"/>
  <c r="E34" i="1"/>
  <c r="E38" i="1"/>
  <c r="E59" i="1" s="1"/>
  <c r="F30" i="1"/>
  <c r="F34" i="1"/>
  <c r="G64" i="1" l="1"/>
  <c r="G65" i="1" s="1"/>
  <c r="G74" i="1" s="1"/>
  <c r="G76" i="1" s="1"/>
  <c r="G73" i="1"/>
  <c r="G75" i="1" s="1"/>
  <c r="F50" i="1"/>
  <c r="F51" i="1"/>
  <c r="F52" i="1" s="1"/>
  <c r="F60" i="1" s="1"/>
  <c r="B64" i="1"/>
  <c r="B65" i="1" s="1"/>
  <c r="D64" i="1"/>
  <c r="D65" i="1" s="1"/>
  <c r="D74" i="1" s="1"/>
  <c r="D76" i="1" s="1"/>
  <c r="D73" i="1"/>
  <c r="D75" i="1" s="1"/>
  <c r="E50" i="1"/>
  <c r="E51" i="1" s="1"/>
  <c r="E52" i="1" s="1"/>
  <c r="E60" i="1" s="1"/>
  <c r="C51" i="1"/>
  <c r="C52" i="1" s="1"/>
  <c r="C60" i="1" s="1"/>
  <c r="E64" i="1" l="1"/>
  <c r="E65" i="1" s="1"/>
  <c r="E74" i="1" s="1"/>
  <c r="E76" i="1" s="1"/>
  <c r="E73" i="1"/>
  <c r="E75" i="1" s="1"/>
  <c r="E77" i="1" s="1"/>
  <c r="G77" i="1"/>
  <c r="D77" i="1"/>
  <c r="F64" i="1"/>
  <c r="F65" i="1" s="1"/>
  <c r="F74" i="1" s="1"/>
  <c r="F76" i="1" s="1"/>
  <c r="F73" i="1"/>
  <c r="F75" i="1" s="1"/>
  <c r="C68" i="1"/>
  <c r="C69" i="1" s="1"/>
  <c r="C64" i="1"/>
  <c r="C65" i="1" s="1"/>
  <c r="C73" i="1"/>
  <c r="C75" i="1" s="1"/>
  <c r="C77" i="1" l="1"/>
  <c r="B68" i="1"/>
  <c r="B69" i="1" s="1"/>
  <c r="B70" i="1" s="1"/>
  <c r="C74" i="1"/>
  <c r="C76" i="1" s="1"/>
  <c r="F77" i="1"/>
</calcChain>
</file>

<file path=xl/sharedStrings.xml><?xml version="1.0" encoding="utf-8"?>
<sst xmlns="http://schemas.openxmlformats.org/spreadsheetml/2006/main" count="226" uniqueCount="213">
  <si>
    <t>FORGE MASTER  -  BUILD CALCULATOR &amp; COMPARISON</t>
  </si>
  <si>
    <t>GAME CONSTANTS</t>
  </si>
  <si>
    <t>6 builds (A-F) side by side. Game constants are in the block on the right. MATCHUP duels A vs B; the final section duels every build B-F against Build A.</t>
  </si>
  <si>
    <t>Base Damage</t>
  </si>
  <si>
    <t>Player base attack damage</t>
  </si>
  <si>
    <t>Base Health</t>
  </si>
  <si>
    <t>Player base health</t>
  </si>
  <si>
    <t>STAT / METRIC</t>
  </si>
  <si>
    <t>BUILD A</t>
  </si>
  <si>
    <t>BUILD B</t>
  </si>
  <si>
    <t>BUILD C</t>
  </si>
  <si>
    <t>BUILD D</t>
  </si>
  <si>
    <t>BUILD E</t>
  </si>
  <si>
    <t>BUILD F</t>
  </si>
  <si>
    <t>MAX PER ROLL / NOTES</t>
  </si>
  <si>
    <t>Base Crit Damage</t>
  </si>
  <si>
    <t>+20% -&gt; crit mult starts at 1.20x</t>
  </si>
  <si>
    <t>BUILD SETUP  -  the core numbers for each build</t>
  </si>
  <si>
    <t>Power: Damage Weight</t>
  </si>
  <si>
    <t>Damage weight in the Power formula</t>
  </si>
  <si>
    <t>Weapon Type</t>
  </si>
  <si>
    <t>Range</t>
  </si>
  <si>
    <t>Melee or Range (pick from the dropdown)</t>
  </si>
  <si>
    <t>Power: Final Multiplier</t>
  </si>
  <si>
    <t>Outer multiplier in the Power formula</t>
  </si>
  <si>
    <t>Max Damage</t>
  </si>
  <si>
    <t>2.4B</t>
  </si>
  <si>
    <t>2.0B</t>
  </si>
  <si>
    <t>1.5B</t>
  </si>
  <si>
    <t>1.1B</t>
  </si>
  <si>
    <t>1.25B</t>
  </si>
  <si>
    <t>Final Damage from the character screen - accepts M / B / T (e.g. 1.2B) or a plain number</t>
  </si>
  <si>
    <t>Attack Breakpoint Step (s)</t>
  </si>
  <si>
    <t>Animation times floored to this step</t>
  </si>
  <si>
    <t>Max Health</t>
  </si>
  <si>
    <t>500M</t>
  </si>
  <si>
    <t>600M</t>
  </si>
  <si>
    <t>1.2B</t>
  </si>
  <si>
    <t>820M</t>
  </si>
  <si>
    <t>660M</t>
  </si>
  <si>
    <t>Final Health from the character screen - accepts M / B / T (e.g. 640M) or a plain number</t>
  </si>
  <si>
    <t>Attack Recovery Pad (s)</t>
  </si>
  <si>
    <t>Fixed time added to every attack cycle</t>
  </si>
  <si>
    <t>Double-Hit Base Delay (s)</t>
  </si>
  <si>
    <t>Delay before the bonus double hit</t>
  </si>
  <si>
    <t>SUBSTAT TOTALS  -  % summed from all 24 rolls (12 items x 2 substats)</t>
  </si>
  <si>
    <t>Melee Attack Duration (s)</t>
  </si>
  <si>
    <t>Default melee attack animation length</t>
  </si>
  <si>
    <t>Damage %</t>
  </si>
  <si>
    <t>Max per roll: 15</t>
  </si>
  <si>
    <t>Melee Windup (s)</t>
  </si>
  <si>
    <t>Default melee time-to-hit</t>
  </si>
  <si>
    <t>Melee Damage %</t>
  </si>
  <si>
    <t>Max per roll: 50  (used only if weapon is melee)</t>
  </si>
  <si>
    <t>Ranged Attack Duration (s)</t>
  </si>
  <si>
    <t>Default ranged attack animation length</t>
  </si>
  <si>
    <t>Range Damage %</t>
  </si>
  <si>
    <t>Max per roll: 15  (used only if weapon is ranged)</t>
  </si>
  <si>
    <t>Ranged Windup (s)</t>
  </si>
  <si>
    <t>Default ranged time-to-hit</t>
  </si>
  <si>
    <t>Crit Damage %</t>
  </si>
  <si>
    <t>Max per roll: 80</t>
  </si>
  <si>
    <t>Crit Chance %</t>
  </si>
  <si>
    <t>Max per roll: 12</t>
  </si>
  <si>
    <t>Double Chance %</t>
  </si>
  <si>
    <t>Max per roll: 20</t>
  </si>
  <si>
    <t>Attack Speed %</t>
  </si>
  <si>
    <t>Max per roll: 40</t>
  </si>
  <si>
    <t>Lifesteal %</t>
  </si>
  <si>
    <t>Health Regen %</t>
  </si>
  <si>
    <t>Max per roll: 4</t>
  </si>
  <si>
    <t>Skill Cooldown %</t>
  </si>
  <si>
    <t>Max per roll: 7   (cooldown reduction)</t>
  </si>
  <si>
    <t>Skill Damage %</t>
  </si>
  <si>
    <t>Max per roll: 30</t>
  </si>
  <si>
    <t>Health %</t>
  </si>
  <si>
    <t>Block Chance %</t>
  </si>
  <si>
    <t>Max per roll: 5</t>
  </si>
  <si>
    <t>DERIVED  -  MAX DAMAGE &amp; HEALTH (numbers)</t>
  </si>
  <si>
    <t>Max Damage (number)</t>
  </si>
  <si>
    <t>Max Health (number)</t>
  </si>
  <si>
    <t>DERIVED  -  POWER</t>
  </si>
  <si>
    <t>POWER</t>
  </si>
  <si>
    <t>DERIVED  -  DAMAGE &amp; CRIT</t>
  </si>
  <si>
    <t>Crit Damage Multiplier x</t>
  </si>
  <si>
    <t>Critical Hit Damage</t>
  </si>
  <si>
    <t>Crit Chance (cap 100%)</t>
  </si>
  <si>
    <t>Crit Multiplier on average hit</t>
  </si>
  <si>
    <t>Double Damage Chance (cap 100%)</t>
  </si>
  <si>
    <t>Double Multiplier on hit</t>
  </si>
  <si>
    <t>DERIVED  -  ATTACK SPEED &amp; BREAKPOINTS</t>
  </si>
  <si>
    <t>Attack Speed Multiplier x</t>
  </si>
  <si>
    <t>Weapon Attack Duration (s)</t>
  </si>
  <si>
    <t>Weapon Windup (s)</t>
  </si>
  <si>
    <t>Theoretical APS (attacks/sec)</t>
  </si>
  <si>
    <t>Base Recovery (s)</t>
  </si>
  <si>
    <t>Stepped Windup (s)</t>
  </si>
  <si>
    <t>Stepped Recovery (s)</t>
  </si>
  <si>
    <t>Stepped Attack Cycle (s)</t>
  </si>
  <si>
    <t>Stepped Double-Hit Delay (s)</t>
  </si>
  <si>
    <t>Double-Hit Cycle (s)</t>
  </si>
  <si>
    <t>Average Real Cycle (s)</t>
  </si>
  <si>
    <t>Real APS (weighted)</t>
  </si>
  <si>
    <t>DERIVED  -  SKILL COOLDOWN</t>
  </si>
  <si>
    <t>Skill Cooldown Reduction</t>
  </si>
  <si>
    <t>Cooldown Multiplier</t>
  </si>
  <si>
    <t>DERIVED  -  DPS &amp; HPS</t>
  </si>
  <si>
    <t>Theoretical Weapon DPS</t>
  </si>
  <si>
    <t>Real Weapon DPS</t>
  </si>
  <si>
    <t>Health Regen per second</t>
  </si>
  <si>
    <t>Block Chance (cap 95%)</t>
  </si>
  <si>
    <t>Block Factor</t>
  </si>
  <si>
    <t>Lifesteal HPS</t>
  </si>
  <si>
    <t>TOTAL HPS (real)</t>
  </si>
  <si>
    <t>MATCHUP  -  WHO WINS, BUILD A vs BUILD B  (1-on-1 duel; C-F are comparison only)</t>
  </si>
  <si>
    <t>Net DPS dealt to opponent</t>
  </si>
  <si>
    <t>Time to defeat opponent (s)</t>
  </si>
  <si>
    <t>WINNER  (A vs B)</t>
  </si>
  <si>
    <t>DOES THIS BUILD BEAT BUILD A?  -  1-on-1 duel of each build B-F vs Build A</t>
  </si>
  <si>
    <t>Net DPS dealt to Build A</t>
  </si>
  <si>
    <t>-</t>
  </si>
  <si>
    <t>Net DPS taken from Build A</t>
  </si>
  <si>
    <t>Time to defeat Build A (s)</t>
  </si>
  <si>
    <t>Time for Build A to defeat this (s)</t>
  </si>
  <si>
    <t>VERDICT  vs BUILD A</t>
  </si>
  <si>
    <t>FORGE MASTER BUILD CALCULATOR  -  DOCUMENTATION</t>
  </si>
  <si>
    <t>This workbook compares 6 builds (A-F). The main table starts at the top of the Calculator sheet; GAME CONSTANTS sit in a block on the right (columns J-L). Combat formulas mirror src/utils/statEngine.ts (function finalizeCalculation).</t>
  </si>
  <si>
    <t>1.  SHEET LAYOUT</t>
  </si>
  <si>
    <t>- Column A          : stat / metric label.</t>
  </si>
  <si>
    <t>- Columns B-G       : the 6 builds, one column each. Build A = B, Build B = C, Build C = D, Build D = E, Build E = F, Build F = G.</t>
  </si>
  <si>
    <t>- Column H          : max-per-roll cap / notes.</t>
  </si>
  <si>
    <t>- Columns J-L       : the GAME CONSTANTS block (shared values, rarely changed).</t>
  </si>
  <si>
    <t>2.  WHAT YOU ENTER  (yellow cells)</t>
  </si>
  <si>
    <t>Per build: Weapon Type (Melee/Range dropdown); Max Damage and Max Health (the final character-screen numbers - they accept a plain number or an M / B / T suffix, e.g. 1.2B = 1,200,000,000); and the 13 substat % totals summed across all 24 rolls (12 items x 2). Type 403.8 for 403.8%, not 4.038.</t>
  </si>
  <si>
    <t>Max Damage / Max Health are FINAL totals - all gear, pet, mount, skill and ascension bonuses are already inside them.</t>
  </si>
  <si>
    <t>3.  POWER</t>
  </si>
  <si>
    <t>POWER = ( (MaxDamage - 10) x 8 + (MaxHealth - 80) ) x 3</t>
  </si>
  <si>
    <t>Reverse-engineered from the game binary.</t>
  </si>
  <si>
    <t>4.  DAMAGE &amp; CRIT</t>
  </si>
  <si>
    <t>Crit Damage Mult   = 1 + 0.20 + CritDamage%</t>
  </si>
  <si>
    <t>Critical Hit Damage= Max Damage x Crit Damage Mult</t>
  </si>
  <si>
    <t>Crit Mult on hit   = 1 + CritChance x (Crit Damage Mult - 1)</t>
  </si>
  <si>
    <t>Double Mult on hit = 1 + DoubleChance%</t>
  </si>
  <si>
    <t>5.  ATTACK SPEED &amp; BREAKPOINTS</t>
  </si>
  <si>
    <t>Attack Speed Mult  = 1 + AttackSpeed%                    (122% -&gt; 2.22x)</t>
  </si>
  <si>
    <t>Weapon Duration/Windup come from the Melee or Ranged constants by Weapon Type.</t>
  </si>
  <si>
    <t>Theoretical APS    = Attack Speed Mult / Weapon Duration</t>
  </si>
  <si>
    <t>Stepped Windup     = FLOOR( Windup / SpeedMult , 0.1 )</t>
  </si>
  <si>
    <t>Stepped Recovery   = FLOOR( (Duration - Windup) / SpeedMult , 0.1 )</t>
  </si>
  <si>
    <t>Stepped Cycle      = MAX( 0.4 , Stepped Windup + Stepped Recovery + 0.2 )</t>
  </si>
  <si>
    <t>Double-Hit Cycle   = Stepped Cycle + MAX(0.1, FLOOR(0.25 / SpeedMult , 0.1))</t>
  </si>
  <si>
    <t>Avg Real Cycle     = (1 - Double%) x Cycle + Double% x DoubleHitCycle</t>
  </si>
  <si>
    <t>Real APS           = (1 + Double%) / Avg Real Cycle</t>
  </si>
  <si>
    <t>The game floors animation times to 0.1s steps, so attack speed improves in jumps.</t>
  </si>
  <si>
    <t>6.  SKILL COOLDOWN</t>
  </si>
  <si>
    <t>Cooldown Reduction = Skill Cooldown%</t>
  </si>
  <si>
    <t>Cooldown Mult      = MAX( 0.1 , 1 - Reduction )</t>
  </si>
  <si>
    <t>7.  DPS &amp; HPS</t>
  </si>
  <si>
    <t>Theoretical Wpn DPS= Max Damage x Theoretical APS x Crit Mult x Double Mult</t>
  </si>
  <si>
    <t>Real Weapon DPS    = Max Damage x Real APS x Crit Mult   (Double already in Real APS)</t>
  </si>
  <si>
    <t>Block Factor       = 1 / (1 - MIN(Block%, 95%))</t>
  </si>
  <si>
    <t>Lifesteal HPS      = Real Weapon DPS x Lifesteal%</t>
  </si>
  <si>
    <t>TOTAL HPS (real)   = (Health Regen/s + Lifesteal HPS) x Block Factor</t>
  </si>
  <si>
    <t>8.  WHO WINS  -  THE MATCHUP  (Build A vs Build B)</t>
  </si>
  <si>
    <t>Net DPS dealt   = your Real Weapon DPS - the opponent's Total HPS</t>
  </si>
  <si>
    <t>Time to defeat  = opponent's Max Health / your Net DPS dealt</t>
  </si>
  <si>
    <t>WINNER          = the build with the shorter Time to defeat</t>
  </si>
  <si>
    <t>If your Net DPS is 0 or below, Time to defeat shows 'never'. Both unkillable, or an exact tie, gives a DRAW. The duel is Build A vs Build B only; C-F are comparison columns. To duel a different pair, copy a build's values into the A or B column.</t>
  </si>
  <si>
    <t>9.  DOES THIS BUILD BEAT BUILD A?</t>
  </si>
  <si>
    <t>The final section duels every build B-F against Build A one-on-one, in that build's own column:</t>
  </si>
  <si>
    <t>Net DPS dealt to A   = this build's Real Weapon DPS - Build A's Total HPS</t>
  </si>
  <si>
    <t>Net DPS taken from A = Build A's Real Weapon DPS - this build's Total HPS</t>
  </si>
  <si>
    <t>Time to defeat A     = Build A's Max Health / Net DPS dealt to A</t>
  </si>
  <si>
    <t>VERDICT vs Build A   = BEATS A / LOSES vs A / DRAW (shorter time-to-kill wins)</t>
  </si>
  <si>
    <t>Build A's own column shows a dash - a build cannot duel itself. 'never' appears when a Net DPS is 0 or below; two unkillable builds give a DRAW.</t>
  </si>
  <si>
    <t>10.  MAINTAINING THIS FILE</t>
  </si>
  <si>
    <t>Do not edit cells by hand for permanent changes. Edit scripts/build_excel_calculator.py and re-run:  python scripts/build_excel_calculator.py</t>
  </si>
  <si>
    <t>Tokens in formulas: @key = the build's own column, #key = a game constant, ~key = Build A, ^key = Build B. Constants live in the CONSTS list (rendered as the right-side block); inputs use inp(...) with one value per build via six(...).</t>
  </si>
  <si>
    <t>STAT REFERENCE  -  max value per single substat roll</t>
  </si>
  <si>
    <t>STAT</t>
  </si>
  <si>
    <t>MAX / ROLL</t>
  </si>
  <si>
    <t>NOTES</t>
  </si>
  <si>
    <t>Crit Damage</t>
  </si>
  <si>
    <t>Increases damage dealt by critical hits</t>
  </si>
  <si>
    <t>Crit Chance</t>
  </si>
  <si>
    <t>Probability that an attack is a critical hit</t>
  </si>
  <si>
    <t>Health Regen</t>
  </si>
  <si>
    <t>Health restored per second, as % of max health</t>
  </si>
  <si>
    <t>Lifesteal</t>
  </si>
  <si>
    <t>% of weapon damage dealt converted to healing</t>
  </si>
  <si>
    <t>Double Chance</t>
  </si>
  <si>
    <t>Probability of a bonus double hit</t>
  </si>
  <si>
    <t>Damage</t>
  </si>
  <si>
    <t>Global damage multiplier</t>
  </si>
  <si>
    <t>Melee Damage</t>
  </si>
  <si>
    <t>Extra damage, melee weapons only</t>
  </si>
  <si>
    <t>Range Damage</t>
  </si>
  <si>
    <t>Extra damage, ranged weapons only</t>
  </si>
  <si>
    <t>Attack Speed</t>
  </si>
  <si>
    <t>Speeds up the attack animation cycle</t>
  </si>
  <si>
    <t>Skill Cooldown</t>
  </si>
  <si>
    <t>Reduces active-skill cooldown</t>
  </si>
  <si>
    <t>Skill Damage</t>
  </si>
  <si>
    <t>Multiplier on active-skill damage and healing</t>
  </si>
  <si>
    <t>Health</t>
  </si>
  <si>
    <t>Global health multiplier</t>
  </si>
  <si>
    <t>Block Chance</t>
  </si>
  <si>
    <t>Probability to block; raises effective HPS</t>
  </si>
  <si>
    <t>Build setup notes:</t>
  </si>
  <si>
    <t>- 12 items total = 8 equipment items + 1 mount + 3 pets, each with exactly 2 substats.</t>
  </si>
  <si>
    <t>- That is 24 substat rolls; the SUBSTAT TOTALS on the Calculator are their summed %.</t>
  </si>
  <si>
    <t>- Gear, pets, mount, skills and ascension are all already reflected in the</t>
  </si>
  <si>
    <t xml:space="preserve">  Max Damage / Max Health you read off the character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</si>
</sst>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&quot; s&quot;"/>
    <numFmt numFmtId="166" formatCode="0.000"/>
    <numFmt numFmtId="167" formatCode="0.0&quot; s&quot;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0404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  <font>
      <b/>
      <sz val="12"/>
      <color rgb="FF1F3864"/>
      <name val="Calibri"/>
    </font>
    <font>
      <b/>
      <sz val="9"/>
      <name val="Calibri"/>
    </font>
    <font>
      <b/>
      <sz val="13"/>
      <color rgb="FFFFFFFF"/>
      <name val="Calibri"/>
    </font>
    <font>
      <sz val="10"/>
      <name val="Calibri"/>
    </font>
    <font>
      <sz val="9"/>
      <name val="Consolas"/>
    </font>
    <font>
      <b/>
      <sz val="12"/>
      <color rgb="FFFFFFFF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EA9DB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8" fillId="0" borderId="1" xfId="0" applyFont="1" applyBorder="1"/>
    <xf numFmtId="1" fontId="0" fillId="8" borderId="1" xfId="0" applyNumberForma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4" fillId="0" borderId="0" xfId="0" applyFont="1"/>
    <xf numFmtId="3" fontId="4" fillId="6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7" borderId="1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167" fontId="4" fillId="6" borderId="1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1" xfId="0" applyBorder="1"/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indent="1"/>
    </xf>
    <xf numFmtId="0" fontId="12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showGridLines="0" tabSelected="1" workbookViewId="0">
      <pane xSplit="1" ySplit="4" topLeftCell="B35" activePane="bottomRight" state="frozen"/>
      <selection pane="topRight"/>
      <selection pane="bottomLeft"/>
      <selection pane="bottomRight" activeCell="E70" sqref="E70"/>
    </sheetView>
  </sheetViews>
  <sheetFormatPr defaultRowHeight="14.25" x14ac:dyDescent="0.45"/>
  <cols>
    <col min="1" max="1" width="30" customWidth="1"/>
    <col min="2" max="7" width="15" customWidth="1"/>
    <col min="8" max="8" width="44" customWidth="1"/>
    <col min="9" max="9" width="3" customWidth="1"/>
    <col min="10" max="10" width="24" customWidth="1"/>
    <col min="11" max="11" width="11" customWidth="1"/>
    <col min="12" max="12" width="44" customWidth="1"/>
  </cols>
  <sheetData>
    <row r="1" spans="1:12" ht="26" customHeight="1" x14ac:dyDescent="0.45">
      <c r="A1" s="29" t="s">
        <v>0</v>
      </c>
      <c r="B1" s="30"/>
      <c r="C1" s="30"/>
      <c r="D1" s="30"/>
      <c r="E1" s="30"/>
      <c r="F1" s="30"/>
      <c r="G1" s="30"/>
      <c r="H1" s="30"/>
      <c r="J1" s="34" t="s">
        <v>1</v>
      </c>
      <c r="K1" s="30"/>
      <c r="L1" s="30"/>
    </row>
    <row r="2" spans="1:12" ht="28.05" customHeight="1" x14ac:dyDescent="0.45">
      <c r="A2" s="35" t="s">
        <v>2</v>
      </c>
      <c r="B2" s="30"/>
      <c r="C2" s="30"/>
      <c r="D2" s="30"/>
      <c r="E2" s="30"/>
      <c r="F2" s="30"/>
      <c r="G2" s="30"/>
      <c r="H2" s="30"/>
      <c r="J2" s="1" t="s">
        <v>3</v>
      </c>
      <c r="K2" s="2">
        <v>10</v>
      </c>
      <c r="L2" s="3" t="s">
        <v>4</v>
      </c>
    </row>
    <row r="3" spans="1:12" x14ac:dyDescent="0.45">
      <c r="J3" s="1" t="s">
        <v>5</v>
      </c>
      <c r="K3" s="2">
        <v>80</v>
      </c>
      <c r="L3" s="3" t="s">
        <v>6</v>
      </c>
    </row>
    <row r="4" spans="1:12" ht="20" customHeight="1" x14ac:dyDescent="0.4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J4" s="1" t="s">
        <v>15</v>
      </c>
      <c r="K4" s="5">
        <v>0.2</v>
      </c>
      <c r="L4" s="3" t="s">
        <v>16</v>
      </c>
    </row>
    <row r="5" spans="1:12" ht="20" customHeight="1" x14ac:dyDescent="0.45">
      <c r="A5" s="31" t="s">
        <v>17</v>
      </c>
      <c r="B5" s="30"/>
      <c r="C5" s="30"/>
      <c r="D5" s="30"/>
      <c r="E5" s="30"/>
      <c r="F5" s="30"/>
      <c r="G5" s="30"/>
      <c r="H5" s="30"/>
      <c r="J5" s="1" t="s">
        <v>18</v>
      </c>
      <c r="K5" s="2">
        <v>8</v>
      </c>
      <c r="L5" s="3" t="s">
        <v>19</v>
      </c>
    </row>
    <row r="6" spans="1:12" x14ac:dyDescent="0.45">
      <c r="A6" t="s">
        <v>20</v>
      </c>
      <c r="B6" s="7" t="s">
        <v>21</v>
      </c>
      <c r="C6" s="7" t="s">
        <v>21</v>
      </c>
      <c r="D6" s="7" t="s">
        <v>21</v>
      </c>
      <c r="E6" s="7" t="s">
        <v>21</v>
      </c>
      <c r="F6" s="7" t="s">
        <v>21</v>
      </c>
      <c r="G6" s="7" t="s">
        <v>21</v>
      </c>
      <c r="H6" s="3" t="s">
        <v>22</v>
      </c>
      <c r="J6" s="1" t="s">
        <v>23</v>
      </c>
      <c r="K6" s="2">
        <v>3</v>
      </c>
      <c r="L6" s="3" t="s">
        <v>24</v>
      </c>
    </row>
    <row r="7" spans="1:12" x14ac:dyDescent="0.45">
      <c r="A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28</v>
      </c>
      <c r="G7" s="7" t="s">
        <v>30</v>
      </c>
      <c r="H7" s="3" t="s">
        <v>31</v>
      </c>
      <c r="J7" s="1" t="s">
        <v>32</v>
      </c>
      <c r="K7" s="5">
        <v>0.1</v>
      </c>
      <c r="L7" s="3" t="s">
        <v>33</v>
      </c>
    </row>
    <row r="8" spans="1:12" x14ac:dyDescent="0.45">
      <c r="A8" t="s">
        <v>34</v>
      </c>
      <c r="B8" s="7" t="s">
        <v>35</v>
      </c>
      <c r="C8" s="7" t="s">
        <v>36</v>
      </c>
      <c r="D8" s="7" t="s">
        <v>37</v>
      </c>
      <c r="E8" s="7" t="s">
        <v>36</v>
      </c>
      <c r="F8" s="7" t="s">
        <v>38</v>
      </c>
      <c r="G8" s="7" t="s">
        <v>39</v>
      </c>
      <c r="H8" s="3" t="s">
        <v>40</v>
      </c>
      <c r="J8" s="1" t="s">
        <v>41</v>
      </c>
      <c r="K8" s="5">
        <v>0.2</v>
      </c>
      <c r="L8" s="3" t="s">
        <v>42</v>
      </c>
    </row>
    <row r="9" spans="1:12" x14ac:dyDescent="0.45">
      <c r="J9" s="1" t="s">
        <v>43</v>
      </c>
      <c r="K9" s="5">
        <v>0.25</v>
      </c>
      <c r="L9" s="3" t="s">
        <v>44</v>
      </c>
    </row>
    <row r="10" spans="1:12" ht="20" customHeight="1" x14ac:dyDescent="0.45">
      <c r="A10" s="31" t="s">
        <v>45</v>
      </c>
      <c r="B10" s="30"/>
      <c r="C10" s="30"/>
      <c r="D10" s="30"/>
      <c r="E10" s="30"/>
      <c r="F10" s="30"/>
      <c r="G10" s="30"/>
      <c r="H10" s="30"/>
      <c r="J10" s="1" t="s">
        <v>46</v>
      </c>
      <c r="K10" s="5">
        <v>1.5</v>
      </c>
      <c r="L10" s="3" t="s">
        <v>47</v>
      </c>
    </row>
    <row r="11" spans="1:12" x14ac:dyDescent="0.45">
      <c r="A11" t="s">
        <v>48</v>
      </c>
      <c r="B11" s="8">
        <v>30</v>
      </c>
      <c r="C11" s="8">
        <v>30</v>
      </c>
      <c r="D11" s="8">
        <v>0</v>
      </c>
      <c r="E11" s="8">
        <v>8</v>
      </c>
      <c r="F11" s="8">
        <v>13.2</v>
      </c>
      <c r="G11" s="8">
        <v>9.5</v>
      </c>
      <c r="H11" s="3" t="s">
        <v>49</v>
      </c>
      <c r="J11" s="1" t="s">
        <v>50</v>
      </c>
      <c r="K11" s="5">
        <v>0.5</v>
      </c>
      <c r="L11" s="3" t="s">
        <v>51</v>
      </c>
    </row>
    <row r="12" spans="1:12" x14ac:dyDescent="0.45">
      <c r="A12" t="s">
        <v>52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3" t="s">
        <v>53</v>
      </c>
      <c r="J12" s="1" t="s">
        <v>54</v>
      </c>
      <c r="K12" s="5">
        <v>1.5</v>
      </c>
      <c r="L12" s="3" t="s">
        <v>55</v>
      </c>
    </row>
    <row r="13" spans="1:12" x14ac:dyDescent="0.45">
      <c r="A13" t="s">
        <v>56</v>
      </c>
      <c r="B13" s="8">
        <v>30</v>
      </c>
      <c r="C13" s="8">
        <v>30</v>
      </c>
      <c r="D13" s="8">
        <v>0</v>
      </c>
      <c r="E13" s="8">
        <v>12.9</v>
      </c>
      <c r="F13" s="8">
        <v>14.5</v>
      </c>
      <c r="G13" s="8">
        <v>13.6</v>
      </c>
      <c r="H13" s="3" t="s">
        <v>57</v>
      </c>
      <c r="J13" s="1" t="s">
        <v>58</v>
      </c>
      <c r="K13" s="5">
        <v>0.5</v>
      </c>
      <c r="L13" s="3" t="s">
        <v>59</v>
      </c>
    </row>
    <row r="14" spans="1:12" x14ac:dyDescent="0.45">
      <c r="A14" t="s">
        <v>60</v>
      </c>
      <c r="B14" s="8">
        <v>640</v>
      </c>
      <c r="C14" s="8">
        <v>320</v>
      </c>
      <c r="D14" s="8">
        <v>320</v>
      </c>
      <c r="E14" s="8">
        <v>360</v>
      </c>
      <c r="F14" s="8">
        <v>410</v>
      </c>
      <c r="G14" s="8">
        <v>388</v>
      </c>
      <c r="H14" s="3" t="s">
        <v>61</v>
      </c>
    </row>
    <row r="15" spans="1:12" x14ac:dyDescent="0.45">
      <c r="A15" t="s">
        <v>62</v>
      </c>
      <c r="B15" s="8">
        <v>48</v>
      </c>
      <c r="C15" s="8">
        <v>36</v>
      </c>
      <c r="D15" s="8">
        <v>36</v>
      </c>
      <c r="E15" s="8">
        <v>29</v>
      </c>
      <c r="F15" s="8">
        <v>36</v>
      </c>
      <c r="G15" s="8">
        <v>32</v>
      </c>
      <c r="H15" s="3" t="s">
        <v>63</v>
      </c>
    </row>
    <row r="16" spans="1:12" x14ac:dyDescent="0.45">
      <c r="A16" t="s">
        <v>64</v>
      </c>
      <c r="B16" s="8">
        <v>80</v>
      </c>
      <c r="C16" s="8">
        <v>100</v>
      </c>
      <c r="D16" s="8">
        <v>40</v>
      </c>
      <c r="E16" s="8">
        <v>42</v>
      </c>
      <c r="F16" s="8">
        <v>52</v>
      </c>
      <c r="G16" s="8">
        <v>46</v>
      </c>
      <c r="H16" s="3" t="s">
        <v>65</v>
      </c>
    </row>
    <row r="17" spans="1:8" x14ac:dyDescent="0.45">
      <c r="A17" t="s">
        <v>66</v>
      </c>
      <c r="B17" s="8">
        <v>160</v>
      </c>
      <c r="C17" s="8">
        <v>320</v>
      </c>
      <c r="D17" s="8">
        <v>120</v>
      </c>
      <c r="E17" s="8">
        <v>115</v>
      </c>
      <c r="F17" s="8">
        <v>140</v>
      </c>
      <c r="G17" s="8">
        <v>125</v>
      </c>
      <c r="H17" s="3" t="s">
        <v>67</v>
      </c>
    </row>
    <row r="18" spans="1:8" x14ac:dyDescent="0.45">
      <c r="A18" t="s">
        <v>68</v>
      </c>
      <c r="B18" s="8">
        <v>0</v>
      </c>
      <c r="C18" s="8">
        <v>0</v>
      </c>
      <c r="D18" s="8">
        <v>120</v>
      </c>
      <c r="E18" s="8">
        <v>64</v>
      </c>
      <c r="F18" s="8">
        <v>52</v>
      </c>
      <c r="G18" s="8">
        <v>60</v>
      </c>
      <c r="H18" s="3" t="s">
        <v>65</v>
      </c>
    </row>
    <row r="19" spans="1:8" x14ac:dyDescent="0.45">
      <c r="A19" t="s">
        <v>69</v>
      </c>
      <c r="B19" s="8">
        <v>0</v>
      </c>
      <c r="C19" s="8">
        <v>0</v>
      </c>
      <c r="D19" s="8">
        <v>4</v>
      </c>
      <c r="E19" s="8">
        <v>0</v>
      </c>
      <c r="F19" s="8">
        <v>3</v>
      </c>
      <c r="G19" s="8">
        <v>0.5</v>
      </c>
      <c r="H19" s="3" t="s">
        <v>70</v>
      </c>
    </row>
    <row r="20" spans="1:8" x14ac:dyDescent="0.45">
      <c r="A20" t="s">
        <v>71</v>
      </c>
      <c r="B20" s="8">
        <v>0</v>
      </c>
      <c r="C20" s="8">
        <v>0</v>
      </c>
      <c r="D20" s="8">
        <v>0</v>
      </c>
      <c r="E20" s="8">
        <v>2.9</v>
      </c>
      <c r="F20" s="8">
        <v>5</v>
      </c>
      <c r="G20" s="8">
        <v>3.5</v>
      </c>
      <c r="H20" s="3" t="s">
        <v>72</v>
      </c>
    </row>
    <row r="21" spans="1:8" x14ac:dyDescent="0.45">
      <c r="A21" t="s">
        <v>73</v>
      </c>
      <c r="B21" s="8">
        <v>0</v>
      </c>
      <c r="C21" s="8">
        <v>0</v>
      </c>
      <c r="D21" s="8">
        <v>0</v>
      </c>
      <c r="E21" s="8">
        <v>0</v>
      </c>
      <c r="F21" s="8">
        <v>22</v>
      </c>
      <c r="G21" s="8">
        <v>8</v>
      </c>
      <c r="H21" s="3" t="s">
        <v>74</v>
      </c>
    </row>
    <row r="22" spans="1:8" x14ac:dyDescent="0.45">
      <c r="A22" t="s">
        <v>75</v>
      </c>
      <c r="B22" s="8">
        <v>0</v>
      </c>
      <c r="C22" s="8">
        <v>0</v>
      </c>
      <c r="D22" s="8">
        <v>60</v>
      </c>
      <c r="E22" s="8">
        <v>0</v>
      </c>
      <c r="F22" s="8">
        <v>10</v>
      </c>
      <c r="G22" s="8">
        <v>3</v>
      </c>
      <c r="H22" s="3" t="s">
        <v>49</v>
      </c>
    </row>
    <row r="23" spans="1:8" x14ac:dyDescent="0.45">
      <c r="A23" t="s">
        <v>76</v>
      </c>
      <c r="B23" s="8">
        <v>0</v>
      </c>
      <c r="C23" s="8">
        <v>0</v>
      </c>
      <c r="D23" s="8">
        <v>5</v>
      </c>
      <c r="E23" s="8">
        <v>0</v>
      </c>
      <c r="F23" s="8">
        <v>4</v>
      </c>
      <c r="G23" s="8">
        <v>2</v>
      </c>
      <c r="H23" s="3" t="s">
        <v>77</v>
      </c>
    </row>
    <row r="25" spans="1:8" ht="20" customHeight="1" x14ac:dyDescent="0.45">
      <c r="A25" s="31" t="s">
        <v>78</v>
      </c>
      <c r="B25" s="30"/>
      <c r="C25" s="30"/>
      <c r="D25" s="30"/>
      <c r="E25" s="30"/>
      <c r="F25" s="30"/>
      <c r="G25" s="30"/>
      <c r="H25" s="30"/>
    </row>
    <row r="26" spans="1:8" x14ac:dyDescent="0.45">
      <c r="A26" s="9" t="s">
        <v>79</v>
      </c>
      <c r="B26" s="10">
        <f t="shared" ref="B26:G27" si="0">IF(ISNUMBER(B7),B7,IF(RIGHT(UPPER(TRIM(B7)),1)="M",VALUE(LEFT(TRIM(B7),LEN(TRIM(B7))-1))*1000000,IF(RIGHT(UPPER(TRIM(B7)),1)="B",VALUE(LEFT(TRIM(B7),LEN(TRIM(B7))-1))*1000000000,IF(RIGHT(UPPER(TRIM(B7)),1)="T",VALUE(LEFT(TRIM(B7),LEN(TRIM(B7))-1))*1000000000000,VALUE(B7)))))</f>
        <v>2400000000</v>
      </c>
      <c r="C26" s="10">
        <f t="shared" si="0"/>
        <v>2000000000</v>
      </c>
      <c r="D26" s="10">
        <f t="shared" si="0"/>
        <v>1500000000</v>
      </c>
      <c r="E26" s="10">
        <f t="shared" si="0"/>
        <v>1100000000</v>
      </c>
      <c r="F26" s="10">
        <f t="shared" si="0"/>
        <v>1500000000</v>
      </c>
      <c r="G26" s="10">
        <f t="shared" si="0"/>
        <v>1250000000</v>
      </c>
    </row>
    <row r="27" spans="1:8" x14ac:dyDescent="0.45">
      <c r="A27" s="9" t="s">
        <v>80</v>
      </c>
      <c r="B27" s="10">
        <f t="shared" si="0"/>
        <v>500000000</v>
      </c>
      <c r="C27" s="10">
        <f t="shared" si="0"/>
        <v>600000000</v>
      </c>
      <c r="D27" s="10">
        <f t="shared" si="0"/>
        <v>1200000000</v>
      </c>
      <c r="E27" s="10">
        <f t="shared" si="0"/>
        <v>600000000</v>
      </c>
      <c r="F27" s="10">
        <f t="shared" si="0"/>
        <v>820000000</v>
      </c>
      <c r="G27" s="10">
        <f t="shared" si="0"/>
        <v>660000000</v>
      </c>
    </row>
    <row r="29" spans="1:8" ht="20" customHeight="1" x14ac:dyDescent="0.45">
      <c r="A29" s="31" t="s">
        <v>81</v>
      </c>
      <c r="B29" s="30"/>
      <c r="C29" s="30"/>
      <c r="D29" s="30"/>
      <c r="E29" s="30"/>
      <c r="F29" s="30"/>
      <c r="G29" s="30"/>
      <c r="H29" s="30"/>
    </row>
    <row r="30" spans="1:8" x14ac:dyDescent="0.45">
      <c r="A30" s="11" t="s">
        <v>82</v>
      </c>
      <c r="B30" s="12">
        <f t="shared" ref="B30:G30" si="1">ROUND(((B26-$K$2)*$K$5+(B27-$K$3))*$K$6,0)</f>
        <v>59099999520</v>
      </c>
      <c r="C30" s="12">
        <f t="shared" si="1"/>
        <v>49799999520</v>
      </c>
      <c r="D30" s="12">
        <f t="shared" si="1"/>
        <v>39599999520</v>
      </c>
      <c r="E30" s="12">
        <f t="shared" si="1"/>
        <v>28199999520</v>
      </c>
      <c r="F30" s="12">
        <f t="shared" si="1"/>
        <v>38459999520</v>
      </c>
      <c r="G30" s="12">
        <f t="shared" si="1"/>
        <v>31979999520</v>
      </c>
    </row>
    <row r="32" spans="1:8" ht="20" customHeight="1" x14ac:dyDescent="0.45">
      <c r="A32" s="31" t="s">
        <v>83</v>
      </c>
      <c r="B32" s="30"/>
      <c r="C32" s="30"/>
      <c r="D32" s="30"/>
      <c r="E32" s="30"/>
      <c r="F32" s="30"/>
      <c r="G32" s="30"/>
      <c r="H32" s="30"/>
    </row>
    <row r="33" spans="1:8" x14ac:dyDescent="0.45">
      <c r="A33" s="9" t="s">
        <v>84</v>
      </c>
      <c r="B33" s="13">
        <f t="shared" ref="B33:G33" si="2">1+$K$4+B14/100</f>
        <v>7.6000000000000005</v>
      </c>
      <c r="C33" s="13">
        <f t="shared" si="2"/>
        <v>4.4000000000000004</v>
      </c>
      <c r="D33" s="13">
        <f t="shared" si="2"/>
        <v>4.4000000000000004</v>
      </c>
      <c r="E33" s="13">
        <f t="shared" si="2"/>
        <v>4.8</v>
      </c>
      <c r="F33" s="13">
        <f t="shared" si="2"/>
        <v>5.3</v>
      </c>
      <c r="G33" s="13">
        <f t="shared" si="2"/>
        <v>5.08</v>
      </c>
    </row>
    <row r="34" spans="1:8" x14ac:dyDescent="0.45">
      <c r="A34" s="11" t="s">
        <v>85</v>
      </c>
      <c r="B34" s="12">
        <f t="shared" ref="B34:G34" si="3">B26*B33</f>
        <v>18240000000</v>
      </c>
      <c r="C34" s="12">
        <f t="shared" si="3"/>
        <v>8800000000</v>
      </c>
      <c r="D34" s="12">
        <f t="shared" si="3"/>
        <v>6600000000.000001</v>
      </c>
      <c r="E34" s="12">
        <f t="shared" si="3"/>
        <v>5280000000</v>
      </c>
      <c r="F34" s="12">
        <f t="shared" si="3"/>
        <v>7950000000</v>
      </c>
      <c r="G34" s="12">
        <f t="shared" si="3"/>
        <v>6350000000</v>
      </c>
    </row>
    <row r="35" spans="1:8" x14ac:dyDescent="0.45">
      <c r="A35" s="9" t="s">
        <v>86</v>
      </c>
      <c r="B35" s="14">
        <f t="shared" ref="B35:G35" si="4">MIN(B15/100,1)</f>
        <v>0.48</v>
      </c>
      <c r="C35" s="14">
        <f t="shared" si="4"/>
        <v>0.36</v>
      </c>
      <c r="D35" s="14">
        <f t="shared" si="4"/>
        <v>0.36</v>
      </c>
      <c r="E35" s="14">
        <f t="shared" si="4"/>
        <v>0.28999999999999998</v>
      </c>
      <c r="F35" s="14">
        <f t="shared" si="4"/>
        <v>0.36</v>
      </c>
      <c r="G35" s="14">
        <f t="shared" si="4"/>
        <v>0.32</v>
      </c>
    </row>
    <row r="36" spans="1:8" x14ac:dyDescent="0.45">
      <c r="A36" s="9" t="s">
        <v>87</v>
      </c>
      <c r="B36" s="13">
        <f t="shared" ref="B36:G36" si="5">1+B35*(B33-1)</f>
        <v>4.1680000000000001</v>
      </c>
      <c r="C36" s="13">
        <f t="shared" si="5"/>
        <v>2.2240000000000002</v>
      </c>
      <c r="D36" s="13">
        <f t="shared" si="5"/>
        <v>2.2240000000000002</v>
      </c>
      <c r="E36" s="13">
        <f t="shared" si="5"/>
        <v>2.1019999999999999</v>
      </c>
      <c r="F36" s="13">
        <f t="shared" si="5"/>
        <v>2.548</v>
      </c>
      <c r="G36" s="13">
        <f t="shared" si="5"/>
        <v>2.3056000000000001</v>
      </c>
    </row>
    <row r="37" spans="1:8" x14ac:dyDescent="0.45">
      <c r="A37" s="9" t="s">
        <v>88</v>
      </c>
      <c r="B37" s="14">
        <f t="shared" ref="B37:G37" si="6">MIN(B16/100,1)</f>
        <v>0.8</v>
      </c>
      <c r="C37" s="14">
        <f t="shared" si="6"/>
        <v>1</v>
      </c>
      <c r="D37" s="14">
        <f t="shared" si="6"/>
        <v>0.4</v>
      </c>
      <c r="E37" s="14">
        <f t="shared" si="6"/>
        <v>0.42</v>
      </c>
      <c r="F37" s="14">
        <f t="shared" si="6"/>
        <v>0.52</v>
      </c>
      <c r="G37" s="14">
        <f t="shared" si="6"/>
        <v>0.46</v>
      </c>
    </row>
    <row r="38" spans="1:8" x14ac:dyDescent="0.45">
      <c r="A38" s="9" t="s">
        <v>89</v>
      </c>
      <c r="B38" s="13">
        <f t="shared" ref="B38:G38" si="7">1+B37</f>
        <v>1.8</v>
      </c>
      <c r="C38" s="13">
        <f t="shared" si="7"/>
        <v>2</v>
      </c>
      <c r="D38" s="13">
        <f t="shared" si="7"/>
        <v>1.4</v>
      </c>
      <c r="E38" s="13">
        <f t="shared" si="7"/>
        <v>1.42</v>
      </c>
      <c r="F38" s="13">
        <f t="shared" si="7"/>
        <v>1.52</v>
      </c>
      <c r="G38" s="13">
        <f t="shared" si="7"/>
        <v>1.46</v>
      </c>
    </row>
    <row r="40" spans="1:8" ht="20" customHeight="1" x14ac:dyDescent="0.45">
      <c r="A40" s="31" t="s">
        <v>90</v>
      </c>
      <c r="B40" s="30"/>
      <c r="C40" s="30"/>
      <c r="D40" s="30"/>
      <c r="E40" s="30"/>
      <c r="F40" s="30"/>
      <c r="G40" s="30"/>
      <c r="H40" s="30"/>
    </row>
    <row r="41" spans="1:8" x14ac:dyDescent="0.45">
      <c r="A41" s="9" t="s">
        <v>91</v>
      </c>
      <c r="B41" s="13">
        <f t="shared" ref="B41:G41" si="8">1+B17/100</f>
        <v>2.6</v>
      </c>
      <c r="C41" s="13">
        <f t="shared" si="8"/>
        <v>4.2</v>
      </c>
      <c r="D41" s="13">
        <f t="shared" si="8"/>
        <v>2.2000000000000002</v>
      </c>
      <c r="E41" s="13">
        <f t="shared" si="8"/>
        <v>2.15</v>
      </c>
      <c r="F41" s="13">
        <f t="shared" si="8"/>
        <v>2.4</v>
      </c>
      <c r="G41" s="13">
        <f t="shared" si="8"/>
        <v>2.25</v>
      </c>
    </row>
    <row r="42" spans="1:8" x14ac:dyDescent="0.45">
      <c r="A42" s="9" t="s">
        <v>92</v>
      </c>
      <c r="B42" s="15">
        <f t="shared" ref="B42:G42" si="9">IF(B6="Range",$K$12,$K$10)</f>
        <v>1.5</v>
      </c>
      <c r="C42" s="15">
        <f t="shared" si="9"/>
        <v>1.5</v>
      </c>
      <c r="D42" s="15">
        <f t="shared" si="9"/>
        <v>1.5</v>
      </c>
      <c r="E42" s="15">
        <f t="shared" si="9"/>
        <v>1.5</v>
      </c>
      <c r="F42" s="15">
        <f t="shared" si="9"/>
        <v>1.5</v>
      </c>
      <c r="G42" s="15">
        <f t="shared" si="9"/>
        <v>1.5</v>
      </c>
    </row>
    <row r="43" spans="1:8" x14ac:dyDescent="0.45">
      <c r="A43" s="9" t="s">
        <v>93</v>
      </c>
      <c r="B43" s="15">
        <f t="shared" ref="B43:G43" si="10">IF(B6="Range",$K$13,$K$11)</f>
        <v>0.5</v>
      </c>
      <c r="C43" s="15">
        <f t="shared" si="10"/>
        <v>0.5</v>
      </c>
      <c r="D43" s="15">
        <f t="shared" si="10"/>
        <v>0.5</v>
      </c>
      <c r="E43" s="15">
        <f t="shared" si="10"/>
        <v>0.5</v>
      </c>
      <c r="F43" s="15">
        <f t="shared" si="10"/>
        <v>0.5</v>
      </c>
      <c r="G43" s="15">
        <f t="shared" si="10"/>
        <v>0.5</v>
      </c>
    </row>
    <row r="44" spans="1:8" x14ac:dyDescent="0.45">
      <c r="A44" s="9" t="s">
        <v>94</v>
      </c>
      <c r="B44" s="16">
        <f t="shared" ref="B44:G44" si="11">B41/B42</f>
        <v>1.7333333333333334</v>
      </c>
      <c r="C44" s="16">
        <f t="shared" si="11"/>
        <v>2.8000000000000003</v>
      </c>
      <c r="D44" s="16">
        <f t="shared" si="11"/>
        <v>1.4666666666666668</v>
      </c>
      <c r="E44" s="16">
        <f t="shared" si="11"/>
        <v>1.4333333333333333</v>
      </c>
      <c r="F44" s="16">
        <f t="shared" si="11"/>
        <v>1.5999999999999999</v>
      </c>
      <c r="G44" s="16">
        <f t="shared" si="11"/>
        <v>1.5</v>
      </c>
    </row>
    <row r="45" spans="1:8" x14ac:dyDescent="0.45">
      <c r="A45" s="9" t="s">
        <v>95</v>
      </c>
      <c r="B45" s="15">
        <f t="shared" ref="B45:G45" si="12">MAX(0,B42-B43)</f>
        <v>1</v>
      </c>
      <c r="C45" s="15">
        <f t="shared" si="12"/>
        <v>1</v>
      </c>
      <c r="D45" s="15">
        <f t="shared" si="12"/>
        <v>1</v>
      </c>
      <c r="E45" s="15">
        <f t="shared" si="12"/>
        <v>1</v>
      </c>
      <c r="F45" s="15">
        <f t="shared" si="12"/>
        <v>1</v>
      </c>
      <c r="G45" s="15">
        <f t="shared" si="12"/>
        <v>1</v>
      </c>
    </row>
    <row r="46" spans="1:8" x14ac:dyDescent="0.45">
      <c r="A46" s="9" t="s">
        <v>96</v>
      </c>
      <c r="B46" s="15">
        <f t="shared" ref="B46:G46" si="13">FLOOR(B43/B41,$K$7)</f>
        <v>0.1</v>
      </c>
      <c r="C46" s="15">
        <f t="shared" si="13"/>
        <v>0.1</v>
      </c>
      <c r="D46" s="15">
        <f t="shared" si="13"/>
        <v>0.2</v>
      </c>
      <c r="E46" s="15">
        <f t="shared" si="13"/>
        <v>0.2</v>
      </c>
      <c r="F46" s="15">
        <f t="shared" si="13"/>
        <v>0.2</v>
      </c>
      <c r="G46" s="15">
        <f t="shared" si="13"/>
        <v>0.2</v>
      </c>
    </row>
    <row r="47" spans="1:8" x14ac:dyDescent="0.45">
      <c r="A47" s="9" t="s">
        <v>97</v>
      </c>
      <c r="B47" s="15">
        <f t="shared" ref="B47:G47" si="14">FLOOR(B45/B41,$K$7)</f>
        <v>0.30000000000000004</v>
      </c>
      <c r="C47" s="15">
        <f t="shared" si="14"/>
        <v>0.2</v>
      </c>
      <c r="D47" s="15">
        <f t="shared" si="14"/>
        <v>0.4</v>
      </c>
      <c r="E47" s="15">
        <f t="shared" si="14"/>
        <v>0.4</v>
      </c>
      <c r="F47" s="15">
        <f t="shared" si="14"/>
        <v>0.4</v>
      </c>
      <c r="G47" s="15">
        <f t="shared" si="14"/>
        <v>0.4</v>
      </c>
    </row>
    <row r="48" spans="1:8" x14ac:dyDescent="0.45">
      <c r="A48" s="9" t="s">
        <v>98</v>
      </c>
      <c r="B48" s="15">
        <f t="shared" ref="B48:G48" si="15">MAX(0.4,B46+B47+$K$8)</f>
        <v>0.60000000000000009</v>
      </c>
      <c r="C48" s="15">
        <f t="shared" si="15"/>
        <v>0.5</v>
      </c>
      <c r="D48" s="15">
        <f t="shared" si="15"/>
        <v>0.8</v>
      </c>
      <c r="E48" s="15">
        <f t="shared" si="15"/>
        <v>0.8</v>
      </c>
      <c r="F48" s="15">
        <f t="shared" si="15"/>
        <v>0.8</v>
      </c>
      <c r="G48" s="15">
        <f t="shared" si="15"/>
        <v>0.8</v>
      </c>
    </row>
    <row r="49" spans="1:8" x14ac:dyDescent="0.45">
      <c r="A49" s="9" t="s">
        <v>99</v>
      </c>
      <c r="B49" s="15">
        <f t="shared" ref="B49:G49" si="16">MAX(0.1,FLOOR($K$9/B41,$K$7))</f>
        <v>0.1</v>
      </c>
      <c r="C49" s="15">
        <f t="shared" si="16"/>
        <v>0.1</v>
      </c>
      <c r="D49" s="15">
        <f t="shared" si="16"/>
        <v>0.1</v>
      </c>
      <c r="E49" s="15">
        <f t="shared" si="16"/>
        <v>0.1</v>
      </c>
      <c r="F49" s="15">
        <f t="shared" si="16"/>
        <v>0.1</v>
      </c>
      <c r="G49" s="15">
        <f t="shared" si="16"/>
        <v>0.1</v>
      </c>
    </row>
    <row r="50" spans="1:8" x14ac:dyDescent="0.45">
      <c r="A50" s="9" t="s">
        <v>100</v>
      </c>
      <c r="B50" s="15">
        <f t="shared" ref="B50:G50" si="17">B48+B49</f>
        <v>0.70000000000000007</v>
      </c>
      <c r="C50" s="15">
        <f t="shared" si="17"/>
        <v>0.6</v>
      </c>
      <c r="D50" s="15">
        <f t="shared" si="17"/>
        <v>0.9</v>
      </c>
      <c r="E50" s="15">
        <f t="shared" si="17"/>
        <v>0.9</v>
      </c>
      <c r="F50" s="15">
        <f t="shared" si="17"/>
        <v>0.9</v>
      </c>
      <c r="G50" s="15">
        <f t="shared" si="17"/>
        <v>0.9</v>
      </c>
    </row>
    <row r="51" spans="1:8" x14ac:dyDescent="0.45">
      <c r="A51" s="9" t="s">
        <v>101</v>
      </c>
      <c r="B51" s="15">
        <f t="shared" ref="B51:G51" si="18">(1-B37)*B48+B37*B50</f>
        <v>0.68</v>
      </c>
      <c r="C51" s="15">
        <f t="shared" si="18"/>
        <v>0.6</v>
      </c>
      <c r="D51" s="15">
        <f t="shared" si="18"/>
        <v>0.84000000000000008</v>
      </c>
      <c r="E51" s="15">
        <f t="shared" si="18"/>
        <v>0.84200000000000008</v>
      </c>
      <c r="F51" s="15">
        <f t="shared" si="18"/>
        <v>0.85200000000000009</v>
      </c>
      <c r="G51" s="15">
        <f t="shared" si="18"/>
        <v>0.84600000000000009</v>
      </c>
    </row>
    <row r="52" spans="1:8" x14ac:dyDescent="0.45">
      <c r="A52" s="11" t="s">
        <v>102</v>
      </c>
      <c r="B52" s="17">
        <f t="shared" ref="B52:G52" si="19">(1+B37)/B51</f>
        <v>2.6470588235294117</v>
      </c>
      <c r="C52" s="17">
        <f t="shared" si="19"/>
        <v>3.3333333333333335</v>
      </c>
      <c r="D52" s="17">
        <f t="shared" si="19"/>
        <v>1.6666666666666663</v>
      </c>
      <c r="E52" s="17">
        <f t="shared" si="19"/>
        <v>1.68646080760095</v>
      </c>
      <c r="F52" s="17">
        <f t="shared" si="19"/>
        <v>1.7840375586854458</v>
      </c>
      <c r="G52" s="17">
        <f t="shared" si="19"/>
        <v>1.7257683215130022</v>
      </c>
    </row>
    <row r="54" spans="1:8" ht="20" customHeight="1" x14ac:dyDescent="0.45">
      <c r="A54" s="31" t="s">
        <v>103</v>
      </c>
      <c r="B54" s="30"/>
      <c r="C54" s="30"/>
      <c r="D54" s="30"/>
      <c r="E54" s="30"/>
      <c r="F54" s="30"/>
      <c r="G54" s="30"/>
      <c r="H54" s="30"/>
    </row>
    <row r="55" spans="1:8" x14ac:dyDescent="0.45">
      <c r="A55" s="9" t="s">
        <v>104</v>
      </c>
      <c r="B55" s="14">
        <f t="shared" ref="B55:G55" si="20">B20/100</f>
        <v>0</v>
      </c>
      <c r="C55" s="14">
        <f t="shared" si="20"/>
        <v>0</v>
      </c>
      <c r="D55" s="14">
        <f t="shared" si="20"/>
        <v>0</v>
      </c>
      <c r="E55" s="14">
        <f t="shared" si="20"/>
        <v>2.8999999999999998E-2</v>
      </c>
      <c r="F55" s="14">
        <f t="shared" si="20"/>
        <v>0.05</v>
      </c>
      <c r="G55" s="14">
        <f t="shared" si="20"/>
        <v>3.5000000000000003E-2</v>
      </c>
    </row>
    <row r="56" spans="1:8" x14ac:dyDescent="0.45">
      <c r="A56" s="9" t="s">
        <v>105</v>
      </c>
      <c r="B56" s="13">
        <f t="shared" ref="B56:G56" si="21">MAX(0.1,1-B55)</f>
        <v>1</v>
      </c>
      <c r="C56" s="13">
        <f t="shared" si="21"/>
        <v>1</v>
      </c>
      <c r="D56" s="13">
        <f t="shared" si="21"/>
        <v>1</v>
      </c>
      <c r="E56" s="13">
        <f t="shared" si="21"/>
        <v>0.97099999999999997</v>
      </c>
      <c r="F56" s="13">
        <f t="shared" si="21"/>
        <v>0.95</v>
      </c>
      <c r="G56" s="13">
        <f t="shared" si="21"/>
        <v>0.96499999999999997</v>
      </c>
    </row>
    <row r="58" spans="1:8" ht="20" customHeight="1" x14ac:dyDescent="0.45">
      <c r="A58" s="31" t="s">
        <v>106</v>
      </c>
      <c r="B58" s="30"/>
      <c r="C58" s="30"/>
      <c r="D58" s="30"/>
      <c r="E58" s="30"/>
      <c r="F58" s="30"/>
      <c r="G58" s="30"/>
      <c r="H58" s="30"/>
    </row>
    <row r="59" spans="1:8" x14ac:dyDescent="0.45">
      <c r="A59" s="9" t="s">
        <v>107</v>
      </c>
      <c r="B59" s="10">
        <f t="shared" ref="B59:G59" si="22">B26*B44*B36*B38</f>
        <v>31209984000</v>
      </c>
      <c r="C59" s="10">
        <f t="shared" si="22"/>
        <v>24908800000.000008</v>
      </c>
      <c r="D59" s="10">
        <f t="shared" si="22"/>
        <v>6849920000</v>
      </c>
      <c r="E59" s="10">
        <f t="shared" si="22"/>
        <v>4706097733.333333</v>
      </c>
      <c r="F59" s="10">
        <f t="shared" si="22"/>
        <v>9295104000</v>
      </c>
      <c r="G59" s="10">
        <f t="shared" si="22"/>
        <v>6311580000</v>
      </c>
    </row>
    <row r="60" spans="1:8" x14ac:dyDescent="0.45">
      <c r="A60" s="11" t="s">
        <v>108</v>
      </c>
      <c r="B60" s="12">
        <f t="shared" ref="B60:G60" si="23">B26*B52*B36</f>
        <v>26479058823.529411</v>
      </c>
      <c r="C60" s="12">
        <f t="shared" si="23"/>
        <v>14826666666.666668</v>
      </c>
      <c r="D60" s="12">
        <f t="shared" si="23"/>
        <v>5559999999.999999</v>
      </c>
      <c r="E60" s="12">
        <f t="shared" si="23"/>
        <v>3899434679.3349161</v>
      </c>
      <c r="F60" s="12">
        <f t="shared" si="23"/>
        <v>6818591549.2957735</v>
      </c>
      <c r="G60" s="12">
        <f t="shared" si="23"/>
        <v>4973664302.6004725</v>
      </c>
    </row>
    <row r="61" spans="1:8" x14ac:dyDescent="0.45">
      <c r="A61" s="9" t="s">
        <v>109</v>
      </c>
      <c r="B61" s="10">
        <f t="shared" ref="B61:G61" si="24">B27*B19/100</f>
        <v>0</v>
      </c>
      <c r="C61" s="10">
        <f t="shared" si="24"/>
        <v>0</v>
      </c>
      <c r="D61" s="10">
        <f t="shared" si="24"/>
        <v>48000000</v>
      </c>
      <c r="E61" s="10">
        <f t="shared" si="24"/>
        <v>0</v>
      </c>
      <c r="F61" s="10">
        <f t="shared" si="24"/>
        <v>24600000</v>
      </c>
      <c r="G61" s="10">
        <f t="shared" si="24"/>
        <v>3300000</v>
      </c>
    </row>
    <row r="62" spans="1:8" x14ac:dyDescent="0.45">
      <c r="A62" s="9" t="s">
        <v>110</v>
      </c>
      <c r="B62" s="14">
        <f t="shared" ref="B62:G62" si="25">MIN(B23/100,0.95)</f>
        <v>0</v>
      </c>
      <c r="C62" s="14">
        <f t="shared" si="25"/>
        <v>0</v>
      </c>
      <c r="D62" s="14">
        <f t="shared" si="25"/>
        <v>0.05</v>
      </c>
      <c r="E62" s="14">
        <f t="shared" si="25"/>
        <v>0</v>
      </c>
      <c r="F62" s="14">
        <f t="shared" si="25"/>
        <v>0.04</v>
      </c>
      <c r="G62" s="14">
        <f t="shared" si="25"/>
        <v>0.02</v>
      </c>
    </row>
    <row r="63" spans="1:8" x14ac:dyDescent="0.45">
      <c r="A63" s="9" t="s">
        <v>111</v>
      </c>
      <c r="B63" s="13">
        <f t="shared" ref="B63:G63" si="26">1/(1-B62)</f>
        <v>1</v>
      </c>
      <c r="C63" s="13">
        <f t="shared" si="26"/>
        <v>1</v>
      </c>
      <c r="D63" s="13">
        <f t="shared" si="26"/>
        <v>1.0526315789473684</v>
      </c>
      <c r="E63" s="13">
        <f t="shared" si="26"/>
        <v>1</v>
      </c>
      <c r="F63" s="13">
        <f t="shared" si="26"/>
        <v>1.0416666666666667</v>
      </c>
      <c r="G63" s="13">
        <f t="shared" si="26"/>
        <v>1.0204081632653061</v>
      </c>
    </row>
    <row r="64" spans="1:8" x14ac:dyDescent="0.45">
      <c r="A64" s="9" t="s">
        <v>112</v>
      </c>
      <c r="B64" s="10">
        <f t="shared" ref="B64:G64" si="27">B60*B18/100</f>
        <v>0</v>
      </c>
      <c r="C64" s="10">
        <f t="shared" si="27"/>
        <v>0</v>
      </c>
      <c r="D64" s="10">
        <f t="shared" si="27"/>
        <v>6671999999.999999</v>
      </c>
      <c r="E64" s="10">
        <f t="shared" si="27"/>
        <v>2495638194.7743464</v>
      </c>
      <c r="F64" s="10">
        <f t="shared" si="27"/>
        <v>3545667605.6338024</v>
      </c>
      <c r="G64" s="10">
        <f t="shared" si="27"/>
        <v>2984198581.5602832</v>
      </c>
    </row>
    <row r="65" spans="1:8" x14ac:dyDescent="0.45">
      <c r="A65" s="11" t="s">
        <v>113</v>
      </c>
      <c r="B65" s="12">
        <f t="shared" ref="B65:G65" si="28">(B61+B64)*B63</f>
        <v>0</v>
      </c>
      <c r="C65" s="12">
        <f t="shared" si="28"/>
        <v>0</v>
      </c>
      <c r="D65" s="12">
        <f t="shared" si="28"/>
        <v>7073684210.5263147</v>
      </c>
      <c r="E65" s="12">
        <f t="shared" si="28"/>
        <v>2495638194.7743464</v>
      </c>
      <c r="F65" s="12">
        <f t="shared" si="28"/>
        <v>3719028755.8685446</v>
      </c>
      <c r="G65" s="12">
        <f t="shared" si="28"/>
        <v>3048467940.3676362</v>
      </c>
    </row>
    <row r="67" spans="1:8" ht="20" customHeight="1" x14ac:dyDescent="0.45">
      <c r="A67" s="31" t="s">
        <v>114</v>
      </c>
      <c r="B67" s="30"/>
      <c r="C67" s="30"/>
      <c r="D67" s="30"/>
      <c r="E67" s="30"/>
      <c r="F67" s="30"/>
      <c r="G67" s="30"/>
      <c r="H67" s="30"/>
    </row>
    <row r="68" spans="1:8" x14ac:dyDescent="0.45">
      <c r="A68" s="9" t="s">
        <v>115</v>
      </c>
      <c r="B68" s="10">
        <f>B60-C65</f>
        <v>26479058823.529411</v>
      </c>
      <c r="C68" s="10">
        <f>C60-B65</f>
        <v>14826666666.666668</v>
      </c>
    </row>
    <row r="69" spans="1:8" x14ac:dyDescent="0.45">
      <c r="A69" s="9" t="s">
        <v>116</v>
      </c>
      <c r="B69" s="18">
        <f>IF(B68&lt;=0,"never",C27/B68)</f>
        <v>2.2659415653657498E-2</v>
      </c>
      <c r="C69" s="18">
        <f>IF(C68&lt;=0,"never",B27/C68)</f>
        <v>3.3723021582733811E-2</v>
      </c>
    </row>
    <row r="70" spans="1:8" ht="24" customHeight="1" x14ac:dyDescent="0.5">
      <c r="A70" s="19" t="s">
        <v>117</v>
      </c>
      <c r="B70" s="32" t="str">
        <f>IF(AND(B69="never",C69="never"),"DRAW - neither can kill",IF(B69="never","BUILD B WINS",IF(C69="never","BUILD A WINS",IF(B69&lt;C69,"BUILD A WINS",IF(B69&gt;C69,"BUILD B WINS","DRAW")))))</f>
        <v>BUILD A WINS</v>
      </c>
      <c r="C70" s="33"/>
    </row>
    <row r="72" spans="1:8" ht="20" customHeight="1" x14ac:dyDescent="0.45">
      <c r="A72" s="31" t="s">
        <v>118</v>
      </c>
      <c r="B72" s="30"/>
      <c r="C72" s="30"/>
      <c r="D72" s="30"/>
      <c r="E72" s="30"/>
      <c r="F72" s="30"/>
      <c r="G72" s="30"/>
      <c r="H72" s="30"/>
    </row>
    <row r="73" spans="1:8" x14ac:dyDescent="0.45">
      <c r="A73" s="9" t="s">
        <v>119</v>
      </c>
      <c r="B73" s="21" t="s">
        <v>120</v>
      </c>
      <c r="C73" s="10">
        <f>C60-B65</f>
        <v>14826666666.666668</v>
      </c>
      <c r="D73" s="10">
        <f>D60-B65</f>
        <v>5559999999.999999</v>
      </c>
      <c r="E73" s="10">
        <f>E60-B65</f>
        <v>3899434679.3349161</v>
      </c>
      <c r="F73" s="10">
        <f>F60-B65</f>
        <v>6818591549.2957735</v>
      </c>
      <c r="G73" s="10">
        <f>G60-B65</f>
        <v>4973664302.6004725</v>
      </c>
    </row>
    <row r="74" spans="1:8" x14ac:dyDescent="0.45">
      <c r="A74" s="9" t="s">
        <v>121</v>
      </c>
      <c r="B74" s="21" t="s">
        <v>120</v>
      </c>
      <c r="C74" s="10">
        <f>B60-C65</f>
        <v>26479058823.529411</v>
      </c>
      <c r="D74" s="10">
        <f>B60-D65</f>
        <v>19405374613.003098</v>
      </c>
      <c r="E74" s="10">
        <f>B60-E65</f>
        <v>23983420628.755066</v>
      </c>
      <c r="F74" s="10">
        <f>B60-F65</f>
        <v>22760030067.660866</v>
      </c>
      <c r="G74" s="10">
        <f>B60-G65</f>
        <v>23430590883.161774</v>
      </c>
    </row>
    <row r="75" spans="1:8" x14ac:dyDescent="0.45">
      <c r="A75" s="9" t="s">
        <v>122</v>
      </c>
      <c r="B75" s="21" t="s">
        <v>120</v>
      </c>
      <c r="C75" s="18">
        <f>IF(C73&lt;=0,"never",B27/C73)</f>
        <v>3.3723021582733811E-2</v>
      </c>
      <c r="D75" s="18">
        <f>IF(D73&lt;=0,"never",B27/D73)</f>
        <v>8.9928057553956844E-2</v>
      </c>
      <c r="E75" s="18">
        <f>IF(E73&lt;=0,"never",B27/E73)</f>
        <v>0.12822371474761554</v>
      </c>
      <c r="F75" s="18">
        <f>IF(F73&lt;=0,"never",B27/F73)</f>
        <v>7.3328926712385376E-2</v>
      </c>
      <c r="G75" s="18">
        <f>IF(G73&lt;=0,"never",B27/G73)</f>
        <v>0.10052950291369199</v>
      </c>
    </row>
    <row r="76" spans="1:8" x14ac:dyDescent="0.45">
      <c r="A76" s="9" t="s">
        <v>123</v>
      </c>
      <c r="B76" s="21" t="s">
        <v>120</v>
      </c>
      <c r="C76" s="18">
        <f>IF(C74&lt;=0,"never",C27/C74)</f>
        <v>2.2659415653657498E-2</v>
      </c>
      <c r="D76" s="18">
        <f>IF(D74&lt;=0,"never",D27/D74)</f>
        <v>6.1838538236510386E-2</v>
      </c>
      <c r="E76" s="18">
        <f>IF(E74&lt;=0,"never",E27/E74)</f>
        <v>2.5017282116989868E-2</v>
      </c>
      <c r="F76" s="18">
        <f>IF(F74&lt;=0,"never",F27/F74)</f>
        <v>3.6028071912133218E-2</v>
      </c>
      <c r="G76" s="18">
        <f>IF(G74&lt;=0,"never",G27/G74)</f>
        <v>2.8168303705661313E-2</v>
      </c>
    </row>
    <row r="77" spans="1:8" x14ac:dyDescent="0.45">
      <c r="A77" s="11" t="s">
        <v>124</v>
      </c>
      <c r="B77" s="22" t="s">
        <v>120</v>
      </c>
      <c r="C77" s="22" t="str">
        <f>IF(AND(C75="never",C76="never"),"DRAW - neither can kill",IF(C75="never","LOSES vs A",IF(C76="never","BEATS A",IF(C75&lt;C76,"BEATS A",IF(C75&gt;C76,"LOSES vs A","DRAW")))))</f>
        <v>LOSES vs A</v>
      </c>
      <c r="D77" s="22" t="str">
        <f>IF(AND(D75="never",D76="never"),"DRAW - neither can kill",IF(D75="never","LOSES vs A",IF(D76="never","BEATS A",IF(D75&lt;D76,"BEATS A",IF(D75&gt;D76,"LOSES vs A","DRAW")))))</f>
        <v>LOSES vs A</v>
      </c>
      <c r="E77" s="22" t="str">
        <f>IF(AND(E75="never",E76="never"),"DRAW - neither can kill",IF(E75="never","LOSES vs A",IF(E76="never","BEATS A",IF(E75&lt;E76,"BEATS A",IF(E75&gt;E76,"LOSES vs A","DRAW")))))</f>
        <v>LOSES vs A</v>
      </c>
      <c r="F77" s="22" t="str">
        <f>IF(AND(F75="never",F76="never"),"DRAW - neither can kill",IF(F75="never","LOSES vs A",IF(F76="never","BEATS A",IF(F75&lt;F76,"BEATS A",IF(F75&gt;F76,"LOSES vs A","DRAW")))))</f>
        <v>LOSES vs A</v>
      </c>
      <c r="G77" s="22" t="str">
        <f>IF(AND(G75="never",G76="never"),"DRAW - neither can kill",IF(G75="never","LOSES vs A",IF(G76="never","BEATS A",IF(G75&lt;G76,"BEATS A",IF(G75&gt;G76,"LOSES vs A","DRAW")))))</f>
        <v>LOSES vs A</v>
      </c>
    </row>
  </sheetData>
  <mergeCells count="14">
    <mergeCell ref="A72:H72"/>
    <mergeCell ref="A10:H10"/>
    <mergeCell ref="A5:H5"/>
    <mergeCell ref="A32:H32"/>
    <mergeCell ref="A58:H58"/>
    <mergeCell ref="A40:H40"/>
    <mergeCell ref="A1:H1"/>
    <mergeCell ref="A67:H67"/>
    <mergeCell ref="B70:C70"/>
    <mergeCell ref="J1:L1"/>
    <mergeCell ref="A29:H29"/>
    <mergeCell ref="A25:H25"/>
    <mergeCell ref="A2:H2"/>
    <mergeCell ref="A54:H54"/>
  </mergeCells>
  <dataValidations count="1">
    <dataValidation type="list" sqref="B6 C6 D6 E6 F6 G6" xr:uid="{00000000-0002-0000-0000-000000000000}">
      <formula1>"Melee,Range"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4"/>
  <sheetViews>
    <sheetView showGridLines="0" workbookViewId="0"/>
  </sheetViews>
  <sheetFormatPr defaultRowHeight="14.25" x14ac:dyDescent="0.45"/>
  <cols>
    <col min="1" max="1" width="118" customWidth="1"/>
  </cols>
  <sheetData>
    <row r="1" spans="1:1" ht="24" customHeight="1" x14ac:dyDescent="0.45">
      <c r="A1" s="23" t="s">
        <v>125</v>
      </c>
    </row>
    <row r="2" spans="1:1" ht="15" customHeight="1" x14ac:dyDescent="0.45">
      <c r="A2" s="24"/>
    </row>
    <row r="3" spans="1:1" ht="45" customHeight="1" x14ac:dyDescent="0.45">
      <c r="A3" s="24" t="s">
        <v>126</v>
      </c>
    </row>
    <row r="4" spans="1:1" ht="15" customHeight="1" x14ac:dyDescent="0.45">
      <c r="A4" s="24"/>
    </row>
    <row r="5" spans="1:1" ht="19.05" customHeight="1" x14ac:dyDescent="0.45">
      <c r="A5" s="6" t="s">
        <v>127</v>
      </c>
    </row>
    <row r="6" spans="1:1" ht="15" customHeight="1" x14ac:dyDescent="0.45">
      <c r="A6" s="24" t="s">
        <v>128</v>
      </c>
    </row>
    <row r="7" spans="1:1" ht="30" customHeight="1" x14ac:dyDescent="0.45">
      <c r="A7" s="24" t="s">
        <v>129</v>
      </c>
    </row>
    <row r="8" spans="1:1" ht="15" customHeight="1" x14ac:dyDescent="0.45">
      <c r="A8" s="24" t="s">
        <v>130</v>
      </c>
    </row>
    <row r="9" spans="1:1" ht="15" customHeight="1" x14ac:dyDescent="0.45">
      <c r="A9" s="24" t="s">
        <v>131</v>
      </c>
    </row>
    <row r="10" spans="1:1" ht="15" customHeight="1" x14ac:dyDescent="0.45">
      <c r="A10" s="24"/>
    </row>
    <row r="11" spans="1:1" ht="19.05" customHeight="1" x14ac:dyDescent="0.45">
      <c r="A11" s="6" t="s">
        <v>132</v>
      </c>
    </row>
    <row r="12" spans="1:1" ht="45" customHeight="1" x14ac:dyDescent="0.45">
      <c r="A12" s="24" t="s">
        <v>133</v>
      </c>
    </row>
    <row r="13" spans="1:1" ht="30" customHeight="1" x14ac:dyDescent="0.45">
      <c r="A13" s="24" t="s">
        <v>134</v>
      </c>
    </row>
    <row r="14" spans="1:1" ht="15" customHeight="1" x14ac:dyDescent="0.45">
      <c r="A14" s="24"/>
    </row>
    <row r="15" spans="1:1" ht="19.05" customHeight="1" x14ac:dyDescent="0.45">
      <c r="A15" s="6" t="s">
        <v>135</v>
      </c>
    </row>
    <row r="16" spans="1:1" ht="15" customHeight="1" x14ac:dyDescent="0.45">
      <c r="A16" s="25" t="s">
        <v>136</v>
      </c>
    </row>
    <row r="17" spans="1:1" ht="15" customHeight="1" x14ac:dyDescent="0.45">
      <c r="A17" s="24" t="s">
        <v>137</v>
      </c>
    </row>
    <row r="18" spans="1:1" ht="15" customHeight="1" x14ac:dyDescent="0.45">
      <c r="A18" s="24"/>
    </row>
    <row r="19" spans="1:1" ht="19.05" customHeight="1" x14ac:dyDescent="0.45">
      <c r="A19" s="6" t="s">
        <v>138</v>
      </c>
    </row>
    <row r="20" spans="1:1" ht="15" customHeight="1" x14ac:dyDescent="0.45">
      <c r="A20" s="25" t="s">
        <v>139</v>
      </c>
    </row>
    <row r="21" spans="1:1" ht="15" customHeight="1" x14ac:dyDescent="0.45">
      <c r="A21" s="25" t="s">
        <v>140</v>
      </c>
    </row>
    <row r="22" spans="1:1" ht="15" customHeight="1" x14ac:dyDescent="0.45">
      <c r="A22" s="25" t="s">
        <v>141</v>
      </c>
    </row>
    <row r="23" spans="1:1" ht="15" customHeight="1" x14ac:dyDescent="0.45">
      <c r="A23" s="25" t="s">
        <v>142</v>
      </c>
    </row>
    <row r="24" spans="1:1" ht="15" customHeight="1" x14ac:dyDescent="0.45">
      <c r="A24" s="24"/>
    </row>
    <row r="25" spans="1:1" ht="19.05" customHeight="1" x14ac:dyDescent="0.45">
      <c r="A25" s="6" t="s">
        <v>143</v>
      </c>
    </row>
    <row r="26" spans="1:1" ht="15" customHeight="1" x14ac:dyDescent="0.45">
      <c r="A26" s="25" t="s">
        <v>144</v>
      </c>
    </row>
    <row r="27" spans="1:1" ht="15" customHeight="1" x14ac:dyDescent="0.45">
      <c r="A27" s="25" t="s">
        <v>145</v>
      </c>
    </row>
    <row r="28" spans="1:1" ht="15" customHeight="1" x14ac:dyDescent="0.45">
      <c r="A28" s="25" t="s">
        <v>146</v>
      </c>
    </row>
    <row r="29" spans="1:1" ht="15" customHeight="1" x14ac:dyDescent="0.45">
      <c r="A29" s="25" t="s">
        <v>147</v>
      </c>
    </row>
    <row r="30" spans="1:1" ht="15" customHeight="1" x14ac:dyDescent="0.45">
      <c r="A30" s="25" t="s">
        <v>148</v>
      </c>
    </row>
    <row r="31" spans="1:1" ht="15" customHeight="1" x14ac:dyDescent="0.45">
      <c r="A31" s="25" t="s">
        <v>149</v>
      </c>
    </row>
    <row r="32" spans="1:1" ht="15" customHeight="1" x14ac:dyDescent="0.45">
      <c r="A32" s="25" t="s">
        <v>150</v>
      </c>
    </row>
    <row r="33" spans="1:1" ht="15" customHeight="1" x14ac:dyDescent="0.45">
      <c r="A33" s="25" t="s">
        <v>151</v>
      </c>
    </row>
    <row r="34" spans="1:1" ht="15" customHeight="1" x14ac:dyDescent="0.45">
      <c r="A34" s="25" t="s">
        <v>152</v>
      </c>
    </row>
    <row r="35" spans="1:1" ht="15" customHeight="1" x14ac:dyDescent="0.45">
      <c r="A35" s="24" t="s">
        <v>153</v>
      </c>
    </row>
    <row r="36" spans="1:1" ht="15" customHeight="1" x14ac:dyDescent="0.45">
      <c r="A36" s="24"/>
    </row>
    <row r="37" spans="1:1" ht="19.05" customHeight="1" x14ac:dyDescent="0.45">
      <c r="A37" s="6" t="s">
        <v>154</v>
      </c>
    </row>
    <row r="38" spans="1:1" ht="15" customHeight="1" x14ac:dyDescent="0.45">
      <c r="A38" s="25" t="s">
        <v>155</v>
      </c>
    </row>
    <row r="39" spans="1:1" ht="15" customHeight="1" x14ac:dyDescent="0.45">
      <c r="A39" s="25" t="s">
        <v>156</v>
      </c>
    </row>
    <row r="40" spans="1:1" ht="15" customHeight="1" x14ac:dyDescent="0.45">
      <c r="A40" s="24"/>
    </row>
    <row r="41" spans="1:1" ht="19.05" customHeight="1" x14ac:dyDescent="0.45">
      <c r="A41" s="6" t="s">
        <v>157</v>
      </c>
    </row>
    <row r="42" spans="1:1" ht="15" customHeight="1" x14ac:dyDescent="0.45">
      <c r="A42" s="25" t="s">
        <v>158</v>
      </c>
    </row>
    <row r="43" spans="1:1" ht="15" customHeight="1" x14ac:dyDescent="0.45">
      <c r="A43" s="25" t="s">
        <v>159</v>
      </c>
    </row>
    <row r="44" spans="1:1" ht="15" customHeight="1" x14ac:dyDescent="0.45">
      <c r="A44" s="25" t="s">
        <v>160</v>
      </c>
    </row>
    <row r="45" spans="1:1" ht="15" customHeight="1" x14ac:dyDescent="0.45">
      <c r="A45" s="25" t="s">
        <v>161</v>
      </c>
    </row>
    <row r="46" spans="1:1" ht="15" customHeight="1" x14ac:dyDescent="0.45">
      <c r="A46" s="25" t="s">
        <v>162</v>
      </c>
    </row>
    <row r="47" spans="1:1" ht="15" customHeight="1" x14ac:dyDescent="0.45">
      <c r="A47" s="24"/>
    </row>
    <row r="48" spans="1:1" ht="19.05" customHeight="1" x14ac:dyDescent="0.45">
      <c r="A48" s="6" t="s">
        <v>163</v>
      </c>
    </row>
    <row r="49" spans="1:1" ht="15" customHeight="1" x14ac:dyDescent="0.45">
      <c r="A49" s="25" t="s">
        <v>164</v>
      </c>
    </row>
    <row r="50" spans="1:1" ht="15" customHeight="1" x14ac:dyDescent="0.45">
      <c r="A50" s="25" t="s">
        <v>165</v>
      </c>
    </row>
    <row r="51" spans="1:1" ht="15" customHeight="1" x14ac:dyDescent="0.45">
      <c r="A51" s="25" t="s">
        <v>166</v>
      </c>
    </row>
    <row r="52" spans="1:1" ht="45" customHeight="1" x14ac:dyDescent="0.45">
      <c r="A52" s="24" t="s">
        <v>167</v>
      </c>
    </row>
    <row r="53" spans="1:1" ht="15" customHeight="1" x14ac:dyDescent="0.45">
      <c r="A53" s="24"/>
    </row>
    <row r="54" spans="1:1" ht="19.05" customHeight="1" x14ac:dyDescent="0.45">
      <c r="A54" s="6" t="s">
        <v>168</v>
      </c>
    </row>
    <row r="55" spans="1:1" ht="15" customHeight="1" x14ac:dyDescent="0.45">
      <c r="A55" s="25" t="s">
        <v>169</v>
      </c>
    </row>
    <row r="56" spans="1:1" ht="15" customHeight="1" x14ac:dyDescent="0.45">
      <c r="A56" s="25" t="s">
        <v>170</v>
      </c>
    </row>
    <row r="57" spans="1:1" ht="15" customHeight="1" x14ac:dyDescent="0.45">
      <c r="A57" s="25" t="s">
        <v>171</v>
      </c>
    </row>
    <row r="58" spans="1:1" ht="15" customHeight="1" x14ac:dyDescent="0.45">
      <c r="A58" s="25" t="s">
        <v>172</v>
      </c>
    </row>
    <row r="59" spans="1:1" ht="15" customHeight="1" x14ac:dyDescent="0.45">
      <c r="A59" s="25" t="s">
        <v>173</v>
      </c>
    </row>
    <row r="60" spans="1:1" ht="30" customHeight="1" x14ac:dyDescent="0.45">
      <c r="A60" s="24" t="s">
        <v>174</v>
      </c>
    </row>
    <row r="61" spans="1:1" ht="15" customHeight="1" x14ac:dyDescent="0.45">
      <c r="A61" s="24"/>
    </row>
    <row r="62" spans="1:1" ht="19.05" customHeight="1" x14ac:dyDescent="0.45">
      <c r="A62" s="6" t="s">
        <v>175</v>
      </c>
    </row>
    <row r="63" spans="1:1" ht="30" customHeight="1" x14ac:dyDescent="0.45">
      <c r="A63" s="24" t="s">
        <v>176</v>
      </c>
    </row>
    <row r="64" spans="1:1" ht="45" customHeight="1" x14ac:dyDescent="0.45">
      <c r="A64" s="24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workbookViewId="0"/>
  </sheetViews>
  <sheetFormatPr defaultRowHeight="14.25" x14ac:dyDescent="0.45"/>
  <cols>
    <col min="1" max="1" width="22" customWidth="1"/>
    <col min="2" max="2" width="16" customWidth="1"/>
    <col min="3" max="3" width="64" customWidth="1"/>
  </cols>
  <sheetData>
    <row r="1" spans="1:3" ht="24" customHeight="1" x14ac:dyDescent="0.45">
      <c r="A1" s="37" t="s">
        <v>178</v>
      </c>
      <c r="B1" s="30"/>
      <c r="C1" s="30"/>
    </row>
    <row r="2" spans="1:3" x14ac:dyDescent="0.45">
      <c r="A2" s="26" t="s">
        <v>179</v>
      </c>
      <c r="B2" s="26" t="s">
        <v>180</v>
      </c>
      <c r="C2" s="26" t="s">
        <v>181</v>
      </c>
    </row>
    <row r="3" spans="1:3" x14ac:dyDescent="0.45">
      <c r="A3" s="20" t="s">
        <v>182</v>
      </c>
      <c r="B3" s="27">
        <v>80</v>
      </c>
      <c r="C3" s="28" t="s">
        <v>183</v>
      </c>
    </row>
    <row r="4" spans="1:3" x14ac:dyDescent="0.45">
      <c r="A4" s="20" t="s">
        <v>184</v>
      </c>
      <c r="B4" s="27">
        <v>12</v>
      </c>
      <c r="C4" s="28" t="s">
        <v>185</v>
      </c>
    </row>
    <row r="5" spans="1:3" x14ac:dyDescent="0.45">
      <c r="A5" s="20" t="s">
        <v>186</v>
      </c>
      <c r="B5" s="27">
        <v>4</v>
      </c>
      <c r="C5" s="28" t="s">
        <v>187</v>
      </c>
    </row>
    <row r="6" spans="1:3" x14ac:dyDescent="0.45">
      <c r="A6" s="20" t="s">
        <v>188</v>
      </c>
      <c r="B6" s="27">
        <v>20</v>
      </c>
      <c r="C6" s="28" t="s">
        <v>189</v>
      </c>
    </row>
    <row r="7" spans="1:3" x14ac:dyDescent="0.45">
      <c r="A7" s="20" t="s">
        <v>190</v>
      </c>
      <c r="B7" s="27">
        <v>20</v>
      </c>
      <c r="C7" s="28" t="s">
        <v>191</v>
      </c>
    </row>
    <row r="8" spans="1:3" x14ac:dyDescent="0.45">
      <c r="A8" s="20" t="s">
        <v>192</v>
      </c>
      <c r="B8" s="27">
        <v>15</v>
      </c>
      <c r="C8" s="28" t="s">
        <v>193</v>
      </c>
    </row>
    <row r="9" spans="1:3" x14ac:dyDescent="0.45">
      <c r="A9" s="20" t="s">
        <v>194</v>
      </c>
      <c r="B9" s="27">
        <v>50</v>
      </c>
      <c r="C9" s="28" t="s">
        <v>195</v>
      </c>
    </row>
    <row r="10" spans="1:3" x14ac:dyDescent="0.45">
      <c r="A10" s="20" t="s">
        <v>196</v>
      </c>
      <c r="B10" s="27">
        <v>15</v>
      </c>
      <c r="C10" s="28" t="s">
        <v>197</v>
      </c>
    </row>
    <row r="11" spans="1:3" x14ac:dyDescent="0.45">
      <c r="A11" s="20" t="s">
        <v>198</v>
      </c>
      <c r="B11" s="27">
        <v>40</v>
      </c>
      <c r="C11" s="28" t="s">
        <v>199</v>
      </c>
    </row>
    <row r="12" spans="1:3" x14ac:dyDescent="0.45">
      <c r="A12" s="20" t="s">
        <v>200</v>
      </c>
      <c r="B12" s="27">
        <v>7</v>
      </c>
      <c r="C12" s="28" t="s">
        <v>201</v>
      </c>
    </row>
    <row r="13" spans="1:3" x14ac:dyDescent="0.45">
      <c r="A13" s="20" t="s">
        <v>202</v>
      </c>
      <c r="B13" s="27">
        <v>30</v>
      </c>
      <c r="C13" s="28" t="s">
        <v>203</v>
      </c>
    </row>
    <row r="14" spans="1:3" x14ac:dyDescent="0.45">
      <c r="A14" s="20" t="s">
        <v>204</v>
      </c>
      <c r="B14" s="27">
        <v>15</v>
      </c>
      <c r="C14" s="28" t="s">
        <v>205</v>
      </c>
    </row>
    <row r="15" spans="1:3" x14ac:dyDescent="0.45">
      <c r="A15" s="20" t="s">
        <v>206</v>
      </c>
      <c r="B15" s="27">
        <v>5</v>
      </c>
      <c r="C15" s="28" t="s">
        <v>207</v>
      </c>
    </row>
    <row r="17" spans="1:3" x14ac:dyDescent="0.45">
      <c r="A17" s="38" t="s">
        <v>208</v>
      </c>
      <c r="B17" s="30"/>
      <c r="C17" s="30"/>
    </row>
    <row r="18" spans="1:3" x14ac:dyDescent="0.45">
      <c r="A18" s="36" t="s">
        <v>209</v>
      </c>
      <c r="B18" s="30"/>
      <c r="C18" s="30"/>
    </row>
    <row r="19" spans="1:3" x14ac:dyDescent="0.45">
      <c r="A19" s="36" t="s">
        <v>210</v>
      </c>
      <c r="B19" s="30"/>
      <c r="C19" s="30"/>
    </row>
    <row r="20" spans="1:3" x14ac:dyDescent="0.45">
      <c r="A20" s="36" t="s">
        <v>211</v>
      </c>
      <c r="B20" s="30"/>
      <c r="C20" s="30"/>
    </row>
    <row r="21" spans="1:3" x14ac:dyDescent="0.45">
      <c r="A21" s="36" t="s">
        <v>212</v>
      </c>
      <c r="B21" s="30"/>
      <c r="C21" s="30"/>
    </row>
  </sheetData>
  <mergeCells count="6">
    <mergeCell ref="A19:C19"/>
    <mergeCell ref="A1:C1"/>
    <mergeCell ref="A17:C17"/>
    <mergeCell ref="A18:C18"/>
    <mergeCell ref="A21:C2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Documentation</vt:lpstr>
      <vt:lpstr>Stat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Timotei Bondas</cp:lastModifiedBy>
  <dcterms:created xsi:type="dcterms:W3CDTF">2026-05-18T20:45:53Z</dcterms:created>
  <dcterms:modified xsi:type="dcterms:W3CDTF">2026-05-18T20:46:12Z</dcterms:modified>
</cp:coreProperties>
</file>